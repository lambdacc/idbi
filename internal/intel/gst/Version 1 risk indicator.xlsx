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Ideaspace\lambdac-co\brainstorming\hackathons\idbi-innovate-2026\intel\"/>
    </mc:Choice>
  </mc:AlternateContent>
  <xr:revisionPtr revIDLastSave="0" documentId="13_ncr:1_{758AC067-5704-4C8F-8FFF-699ACEE7D389}" xr6:coauthVersionLast="47" xr6:coauthVersionMax="47" xr10:uidLastSave="{00000000-0000-0000-0000-000000000000}"/>
  <bookViews>
    <workbookView xWindow="-110" yWindow="-110" windowWidth="19420" windowHeight="10300" xr2:uid="{D68A53E2-8B67-4A01-8FEC-5A6A0E1D04E2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3" i="3"/>
</calcChain>
</file>

<file path=xl/sharedStrings.xml><?xml version="1.0" encoding="utf-8"?>
<sst xmlns="http://schemas.openxmlformats.org/spreadsheetml/2006/main" count="39" uniqueCount="39">
  <si>
    <t>ITC mismatch between GSTR-2A and GSTR-3B</t>
  </si>
  <si>
    <t>ITC available as per GSTR-2A with all its amendments was compared with the ITC availed in GSTR-3B in Table 4A(5) (accrued on domestic supplies) excluding the reversals in Table 4B(2) but including the ITC availed in the subsequent year from Table 8C of GSTR-9 and blocked credits.</t>
  </si>
  <si>
    <t>ITC passed on without supplier remitting tax</t>
  </si>
  <si>
    <t xml:space="preserve">ITC available from GSTR-2A was compared with Table 8A of GSTR-9 which captures ITC available  from GSTR-2A (as an auto-populated non-editable field) but excludes those entries in GSTR-2A where the supplier has not filed GSTR-1 by due date of its filing. and  also excludes the ITC for the period during which the recipient taxpayer was under composition scheme. </t>
  </si>
  <si>
    <t>ITC availed in GSTR-3B filed after the cut-off period.</t>
  </si>
  <si>
    <t xml:space="preserve">ITC availed through Table 4 of GSTR-3Bs pertaining to period 2018-19 to 2020-21 filed after October of the following year. </t>
  </si>
  <si>
    <t>Incorrect availing of ISD credit</t>
  </si>
  <si>
    <t>ISD ITC availed in GSTR-9 Table 6G or GSTR-3B Table 4(A)(4) of recipient was compared with the sum of Table 5A, Table 8A, and Table 9A of GSTR-6 of distributor GSTINs</t>
  </si>
  <si>
    <t>Short payment of tax under RCM versus ITC availed in GSTR-3B/ GSTR-9</t>
  </si>
  <si>
    <t>RCM payments in GSTR-9 Table 4G (tax payable) were compared with ITC availed in GSTR-9 Table 6C, 6D and 6F (ITC availed). In cases where GSTR-9 was not available, RCM payment in GSTR-3B Table 3.1(d) was compared with GSTR-3B 4(A)(2) and 4A(3). Greater of difference in GSTR-9 and GSTR-3B considered where both were available.</t>
  </si>
  <si>
    <t>Mismatch of ITC availed between Annual returns and Books of accounts</t>
  </si>
  <si>
    <t>Positive figure in GSTR-9C Table 12F and examination of reasons provided in Table 13 for mismatch</t>
  </si>
  <si>
    <t>Reconciliation between ITC availed in Annual returns with expenses in financial statements</t>
  </si>
  <si>
    <t>Positive figure in GSTR-9C Table 14T and examination of reasons provided in Table 15 for mismatch</t>
  </si>
  <si>
    <t xml:space="preserve">Excess ITC availed during transition from the old regime. </t>
  </si>
  <si>
    <t>The closing balance of the legacy returns (ST-3 and ER-1) returns was compared with the 5(a) figure of the TRAN-1 return. The cases where TRAN-1 table 5(a) was more than closing balance of CENVAT credit in ST-3 and ER-1 were identified.</t>
  </si>
  <si>
    <t>Unsettled liabilities</t>
  </si>
  <si>
    <t>The greater of tax liability between GSTR-1 (Tables 4 to 11), considering advances and amendments, and GSTR-9 (Tables 4N, 10 and 11) was compared with tax paid details in GSTR-3B Tables 3.1(a) and 3.1(b). In cases where GSTR-9 was not available, GSTR-3B tax paid was compared with GSTR-1 liability.</t>
  </si>
  <si>
    <t>Suppression of tax liability based on E-way bill verification</t>
  </si>
  <si>
    <t>GSTR-3B Table 3.1(a)+(b) was compared with tax liability declared in the e-way bills and cases where GSTR-3B are less than e-way bills are identified.</t>
  </si>
  <si>
    <t>Mismatch in tax paid between books of accounts and returns</t>
  </si>
  <si>
    <t>Negative figure in GSTR-9C Table 9R and examination of reasons provided in Table 10 for mismatch</t>
  </si>
  <si>
    <t>Under-declaration of taxable supplies by comparing TDS returns</t>
  </si>
  <si>
    <t>Table 3.1(a) of GSTR-3B was compared with Column 6 of Table 9 of GSTR-2A. Cases where GSTR-3B values are less than that of GSTR-2A are identified.</t>
  </si>
  <si>
    <t>Suppression of taxable value based on unbilled revenue declared in GSTR-9C.</t>
  </si>
  <si>
    <t>Unbilled revenue at the beginning of the year in GSTR-9C Table 5B should tally with the unbilled revenue of the previous GSTR-9C shown in Table 5H. Any mismatch indicates suppression of taxable turnover.</t>
  </si>
  <si>
    <t>Mismatch in taxable turnover declared in GSTR-9C Table 7G</t>
  </si>
  <si>
    <t>Negative figure in GSTR-9C Table 7G and examination of reasons provided in Table 8 for mismatch</t>
  </si>
  <si>
    <t>Ineligible composition levy</t>
  </si>
  <si>
    <t>The composition taxpayers whose turnover on all India basis (Central and State jurisdiction) under all GSTINs of the same PAN have crossed the turnover limit of ₹ 1 crore in 2018-19 and ₹ 1.5 crore in 2019-20 were identified.</t>
  </si>
  <si>
    <t>Composition taxpayers also availing e-commerce facility</t>
  </si>
  <si>
    <t>E-commerce GSTR-8 became effective from 1 October 2018 when TCS provisions became effective. GSTINs declared in GSTR-8 who are also filing GSTR-4/CMP-08 under composition scheme.</t>
  </si>
  <si>
    <t>GSTR-3B was not filed but GSTR-1 is available</t>
  </si>
  <si>
    <t>Taxpayers who have not filed GSTR-3B but have filed GSTR-1 or where GSTR-2A available, indicating taxpayers carrying on the business without discharging tax.</t>
  </si>
  <si>
    <t>Short payment of interest</t>
  </si>
  <si>
    <t>Interest calculated at the rate of 18 per cent on cash portion of tax payment on delayed filing of GSTR-3B vis-à-vis interest declared in GSTR-3B</t>
  </si>
  <si>
    <t>Indicator</t>
  </si>
  <si>
    <t>Logic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</si>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</sst>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499E-CDB9-4224-9618-3D41284E5BC1}">
  <dimension ref="A1:C19"/>
  <sheetViews>
    <sheetView tabSelected="1" topLeftCell="A2" workbookViewId="0">
      <selection activeCell="B6" sqref="B6"/>
    </sheetView>
  </sheetViews>
  <sheetFormatPr defaultRowHeight="14.5" x14ac:dyDescent="0.35"/>
  <cols>
    <col min="1" max="1" width="15.453125" customWidth="1"/>
    <col min="2" max="2" width="37.6328125" customWidth="1"/>
    <col min="3" max="3" width="95.6328125" customWidth="1"/>
  </cols>
  <sheetData>
    <row r="1" spans="1:3" x14ac:dyDescent="0.35">
      <c r="A1" s="1" t="s">
        <v>38</v>
      </c>
      <c r="B1" s="1" t="s">
        <v>36</v>
      </c>
      <c r="C1" s="1" t="s">
        <v>37</v>
      </c>
    </row>
    <row r="2" spans="1:3" ht="39.5" x14ac:dyDescent="0.35">
      <c r="A2" s="2">
        <v>1</v>
      </c>
      <c r="B2" s="2" t="s">
        <v>0</v>
      </c>
      <c r="C2" s="2" t="s">
        <v>1</v>
      </c>
    </row>
    <row r="3" spans="1:3" ht="39.5" x14ac:dyDescent="0.35">
      <c r="A3" s="2">
        <f>A2+1</f>
        <v>2</v>
      </c>
      <c r="B3" s="2" t="s">
        <v>2</v>
      </c>
      <c r="C3" s="2" t="s">
        <v>3</v>
      </c>
    </row>
    <row r="4" spans="1:3" ht="26.5" x14ac:dyDescent="0.35">
      <c r="A4" s="2">
        <f t="shared" ref="A4:A19" si="0">A3+1</f>
        <v>3</v>
      </c>
      <c r="B4" s="2" t="s">
        <v>4</v>
      </c>
      <c r="C4" s="2" t="s">
        <v>5</v>
      </c>
    </row>
    <row r="5" spans="1:3" ht="26.5" x14ac:dyDescent="0.35">
      <c r="A5" s="2">
        <f t="shared" si="0"/>
        <v>4</v>
      </c>
      <c r="B5" s="2" t="s">
        <v>6</v>
      </c>
      <c r="C5" s="2" t="s">
        <v>7</v>
      </c>
    </row>
    <row r="6" spans="1:3" ht="39.5" x14ac:dyDescent="0.35">
      <c r="A6" s="2">
        <f t="shared" si="0"/>
        <v>5</v>
      </c>
      <c r="B6" s="2" t="s">
        <v>8</v>
      </c>
      <c r="C6" s="2" t="s">
        <v>9</v>
      </c>
    </row>
    <row r="7" spans="1:3" ht="26.5" x14ac:dyDescent="0.35">
      <c r="A7" s="2">
        <f t="shared" si="0"/>
        <v>6</v>
      </c>
      <c r="B7" s="2" t="s">
        <v>10</v>
      </c>
      <c r="C7" s="2" t="s">
        <v>11</v>
      </c>
    </row>
    <row r="8" spans="1:3" ht="26.5" x14ac:dyDescent="0.35">
      <c r="A8" s="2">
        <f t="shared" si="0"/>
        <v>7</v>
      </c>
      <c r="B8" s="2" t="s">
        <v>12</v>
      </c>
      <c r="C8" s="2" t="s">
        <v>13</v>
      </c>
    </row>
    <row r="9" spans="1:3" ht="26.5" x14ac:dyDescent="0.35">
      <c r="A9" s="2">
        <f t="shared" si="0"/>
        <v>8</v>
      </c>
      <c r="B9" s="2" t="s">
        <v>14</v>
      </c>
      <c r="C9" s="2" t="s">
        <v>15</v>
      </c>
    </row>
    <row r="10" spans="1:3" ht="39.5" x14ac:dyDescent="0.35">
      <c r="A10" s="2">
        <f t="shared" si="0"/>
        <v>9</v>
      </c>
      <c r="B10" s="2" t="s">
        <v>16</v>
      </c>
      <c r="C10" s="2" t="s">
        <v>17</v>
      </c>
    </row>
    <row r="11" spans="1:3" ht="26.5" x14ac:dyDescent="0.35">
      <c r="A11" s="2">
        <f t="shared" si="0"/>
        <v>10</v>
      </c>
      <c r="B11" s="2" t="s">
        <v>18</v>
      </c>
      <c r="C11" s="2" t="s">
        <v>19</v>
      </c>
    </row>
    <row r="12" spans="1:3" ht="26.5" x14ac:dyDescent="0.35">
      <c r="A12" s="2">
        <f t="shared" si="0"/>
        <v>11</v>
      </c>
      <c r="B12" s="2" t="s">
        <v>20</v>
      </c>
      <c r="C12" s="2" t="s">
        <v>21</v>
      </c>
    </row>
    <row r="13" spans="1:3" ht="26.5" x14ac:dyDescent="0.35">
      <c r="A13" s="2">
        <f t="shared" si="0"/>
        <v>12</v>
      </c>
      <c r="B13" s="2" t="s">
        <v>22</v>
      </c>
      <c r="C13" s="2" t="s">
        <v>23</v>
      </c>
    </row>
    <row r="14" spans="1:3" ht="26.5" x14ac:dyDescent="0.35">
      <c r="A14" s="2">
        <f t="shared" si="0"/>
        <v>13</v>
      </c>
      <c r="B14" s="2" t="s">
        <v>24</v>
      </c>
      <c r="C14" s="2" t="s">
        <v>25</v>
      </c>
    </row>
    <row r="15" spans="1:3" ht="26.5" x14ac:dyDescent="0.35">
      <c r="A15" s="2">
        <f t="shared" si="0"/>
        <v>14</v>
      </c>
      <c r="B15" s="2" t="s">
        <v>26</v>
      </c>
      <c r="C15" s="2" t="s">
        <v>27</v>
      </c>
    </row>
    <row r="16" spans="1:3" ht="26.5" x14ac:dyDescent="0.35">
      <c r="A16" s="2">
        <f t="shared" si="0"/>
        <v>15</v>
      </c>
      <c r="B16" s="2" t="s">
        <v>28</v>
      </c>
      <c r="C16" s="2" t="s">
        <v>29</v>
      </c>
    </row>
    <row r="17" spans="1:3" ht="26.5" x14ac:dyDescent="0.35">
      <c r="A17" s="2">
        <f t="shared" si="0"/>
        <v>16</v>
      </c>
      <c r="B17" s="2" t="s">
        <v>30</v>
      </c>
      <c r="C17" s="2" t="s">
        <v>31</v>
      </c>
    </row>
    <row r="18" spans="1:3" ht="26.5" x14ac:dyDescent="0.35">
      <c r="A18" s="2">
        <f t="shared" si="0"/>
        <v>17</v>
      </c>
      <c r="B18" s="2" t="s">
        <v>32</v>
      </c>
      <c r="C18" s="2" t="s">
        <v>33</v>
      </c>
    </row>
    <row r="19" spans="1:3" ht="26.5" x14ac:dyDescent="0.35">
      <c r="A19" s="2">
        <f t="shared" si="0"/>
        <v>18</v>
      </c>
      <c r="B19" s="2" t="s">
        <v>34</v>
      </c>
      <c r="C1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</dc:creator>
  <cp:lastModifiedBy>Ganesh N</cp:lastModifiedBy>
  <dcterms:created xsi:type="dcterms:W3CDTF">2026-06-28T04:10:18Z</dcterms:created>
  <dcterms:modified xsi:type="dcterms:W3CDTF">2026-06-28T04:40:05Z</dcterms:modified>
</cp:coreProperties>
</file>